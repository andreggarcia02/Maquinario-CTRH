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eb1ca3d311ecad33/"/>
    </mc:Choice>
  </mc:AlternateContent>
  <xr:revisionPtr revIDLastSave="2" documentId="8_{85C5F117-6A2B-4AE2-830C-9E5DAC5F01CB}" xr6:coauthVersionLast="47" xr6:coauthVersionMax="47" xr10:uidLastSave="{D35580EB-F408-4E87-8E41-0B402EDFCFF6}"/>
  <bookViews>
    <workbookView xWindow="-28920" yWindow="5430" windowWidth="29040" windowHeight="15720" firstSheet="4" activeTab="4" xr2:uid="{00000000-000D-0000-FFFF-FFFF00000000}"/>
  </bookViews>
  <sheets>
    <sheet name="LANCAMENTOS" sheetId="1" r:id="rId1"/>
    <sheet name="EQUIPAMENTOS" sheetId="2" r:id="rId2"/>
    <sheet name="OPERADORES" sheetId="3" r:id="rId3"/>
    <sheet name="TABELAS_AUX" sheetId="4" state="hidden" r:id="rId4"/>
    <sheet name="MANUTENÇÃO" sheetId="7" r:id="rId5"/>
    <sheet name="CUSTO POR GRUPO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2" i="1"/>
  <c r="H3" i="2"/>
  <c r="H4" i="2"/>
  <c r="H5" i="2"/>
  <c r="H6" i="2"/>
  <c r="H7" i="2"/>
  <c r="H8" i="2"/>
  <c r="H9" i="2"/>
  <c r="H2" i="2"/>
  <c r="G3" i="2"/>
  <c r="G4" i="2"/>
  <c r="G5" i="2"/>
  <c r="G6" i="2"/>
  <c r="G7" i="2"/>
  <c r="G8" i="2"/>
  <c r="G9" i="2"/>
  <c r="G2" i="2"/>
  <c r="E3" i="2"/>
  <c r="E4" i="2"/>
  <c r="E5" i="2"/>
  <c r="E6" i="2"/>
  <c r="E7" i="2"/>
  <c r="E8" i="2"/>
  <c r="E9" i="2"/>
  <c r="E2" i="2"/>
  <c r="G3" i="3"/>
  <c r="G4" i="3"/>
  <c r="G5" i="3"/>
  <c r="G6" i="3"/>
  <c r="G7" i="3"/>
  <c r="G8" i="3"/>
  <c r="G2" i="3"/>
  <c r="F4" i="1"/>
  <c r="B3" i="6"/>
  <c r="B4" i="6"/>
  <c r="B2" i="6"/>
  <c r="F3" i="1"/>
  <c r="K3" i="1"/>
  <c r="F2" i="1"/>
  <c r="K4" i="1" l="1"/>
  <c r="K2" i="1"/>
  <c r="C2" i="6" s="1"/>
</calcChain>
</file>

<file path=xl/sharedStrings.xml><?xml version="1.0" encoding="utf-8"?>
<sst xmlns="http://schemas.openxmlformats.org/spreadsheetml/2006/main" count="117" uniqueCount="77">
  <si>
    <t>Data</t>
  </si>
  <si>
    <t>Equipamento</t>
  </si>
  <si>
    <t>Operador</t>
  </si>
  <si>
    <t>Horímetro inicial</t>
  </si>
  <si>
    <t>Horímetro final</t>
  </si>
  <si>
    <t>Horas trabalhadas</t>
  </si>
  <si>
    <t>Tipo de operação</t>
  </si>
  <si>
    <t>Condição (Trabalho/Manutenção/Parado)</t>
  </si>
  <si>
    <t>Observações</t>
  </si>
  <si>
    <t>Custo hora máquina (R$)</t>
  </si>
  <si>
    <t>ID Equipamento</t>
  </si>
  <si>
    <t>Nome</t>
  </si>
  <si>
    <t>Potência (cv)</t>
  </si>
  <si>
    <t>Ano</t>
  </si>
  <si>
    <t>Custo hora (R$)</t>
  </si>
  <si>
    <t>Situação (Ativo/Manutenção)</t>
  </si>
  <si>
    <t>EQ001</t>
  </si>
  <si>
    <t>290</t>
  </si>
  <si>
    <t>Ativo</t>
  </si>
  <si>
    <t>EQ002</t>
  </si>
  <si>
    <t>John Deere</t>
  </si>
  <si>
    <t>EQ003</t>
  </si>
  <si>
    <t>275 CT</t>
  </si>
  <si>
    <t>EQ004</t>
  </si>
  <si>
    <t>275 Prof Alexandre</t>
  </si>
  <si>
    <t>EQ005</t>
  </si>
  <si>
    <t>Bobcat</t>
  </si>
  <si>
    <t>EQ006</t>
  </si>
  <si>
    <t>Valtra A114</t>
  </si>
  <si>
    <t>EQ007</t>
  </si>
  <si>
    <t>265</t>
  </si>
  <si>
    <t>EQ008</t>
  </si>
  <si>
    <t>Valmet 885</t>
  </si>
  <si>
    <t>ID Operador</t>
  </si>
  <si>
    <t>Função</t>
  </si>
  <si>
    <t>Habilitações / Observações</t>
  </si>
  <si>
    <t>Ativo? (Sim/Não)</t>
  </si>
  <si>
    <t>OP001</t>
  </si>
  <si>
    <t>André</t>
  </si>
  <si>
    <t>Tratorista</t>
  </si>
  <si>
    <t>Sim</t>
  </si>
  <si>
    <t>OP002</t>
  </si>
  <si>
    <t>Eduardo</t>
  </si>
  <si>
    <t>OP003</t>
  </si>
  <si>
    <t>Pedro</t>
  </si>
  <si>
    <t>OP004</t>
  </si>
  <si>
    <t>Igor</t>
  </si>
  <si>
    <t>OP005</t>
  </si>
  <si>
    <t>Tranbiqueiro</t>
  </si>
  <si>
    <t>OP006</t>
  </si>
  <si>
    <t>Barbara</t>
  </si>
  <si>
    <t>OP007</t>
  </si>
  <si>
    <t>Ana</t>
  </si>
  <si>
    <t>Condição</t>
  </si>
  <si>
    <t>Preparo de solo</t>
  </si>
  <si>
    <t>Trabalho</t>
  </si>
  <si>
    <t>Plantio</t>
  </si>
  <si>
    <t>Manutenção</t>
  </si>
  <si>
    <t>Pulverização</t>
  </si>
  <si>
    <t>Parado</t>
  </si>
  <si>
    <t>Adubação</t>
  </si>
  <si>
    <t>Colheita</t>
  </si>
  <si>
    <t>Transporte</t>
  </si>
  <si>
    <t>Outro</t>
  </si>
  <si>
    <t>Grupo</t>
  </si>
  <si>
    <t>Custo da operação</t>
  </si>
  <si>
    <t>HORAS TRABALHADAS</t>
  </si>
  <si>
    <t>CUSTO</t>
  </si>
  <si>
    <t>GRUPO</t>
  </si>
  <si>
    <t>NUTRIBOV</t>
  </si>
  <si>
    <t>CAPIM</t>
  </si>
  <si>
    <t>CPZ</t>
  </si>
  <si>
    <t>Horímetro Atual</t>
  </si>
  <si>
    <t>Horímetro</t>
  </si>
  <si>
    <t>Manutenção Realizada</t>
  </si>
  <si>
    <t>Custo da Manutenção</t>
  </si>
  <si>
    <t>Troca óleo e filtro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</si>
</sst>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theme="6" tint="0.79998168889431442"/>
        <bgColor theme="6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6" tint="0.39997558519241921"/>
      </top>
      <bottom style="thin">
        <color theme="6" tint="0.3999755851924192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0" fontId="2" fillId="2" borderId="1" xfId="0" applyFont="1" applyFill="1" applyBorder="1"/>
    <xf numFmtId="0" fontId="0" fillId="3" borderId="1" xfId="0" applyFill="1" applyBorder="1"/>
    <xf numFmtId="0" fontId="0" fillId="0" borderId="1" xfId="0" applyBorder="1"/>
    <xf numFmtId="14" fontId="0" fillId="0" borderId="0" xfId="0" applyNumberFormat="1"/>
    <xf numFmtId="44" fontId="0" fillId="0" borderId="0" xfId="1" applyFont="1"/>
  </cellXfs>
  <cellStyles count="2">
    <cellStyle name="Currency" xfId="1" builtinId="4"/>
    <cellStyle name="Normal" xfId="0" builtinId="0"/>
  </cellStyles>
  <dxfs count="5"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6" tint="0.39997558519241921"/>
        </top>
        <bottom style="thin">
          <color theme="6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6" tint="0.39997558519241921"/>
        </top>
        <bottom style="thin">
          <color theme="6" tint="0.39997558519241921"/>
        </bottom>
        <vertical/>
        <horizontal/>
      </border>
    </dxf>
    <dxf>
      <border outline="0">
        <left style="thin">
          <color theme="6" tint="0.39997558519241921"/>
        </left>
      </border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lancamentos" displayName="tbl_lancamentos" ref="A1:K4">
  <autoFilter ref="A1:K4" xr:uid="{00000000-0009-0000-0100-000001000000}"/>
  <tableColumns count="11">
    <tableColumn id="1" xr3:uid="{00000000-0010-0000-0000-000001000000}" name="Data"/>
    <tableColumn id="2" xr3:uid="{00000000-0010-0000-0000-000002000000}" name="Equipamento"/>
    <tableColumn id="3" xr3:uid="{00000000-0010-0000-0000-000003000000}" name="Operador"/>
    <tableColumn id="4" xr3:uid="{00000000-0010-0000-0000-000004000000}" name="Horímetro inicial"/>
    <tableColumn id="5" xr3:uid="{00000000-0010-0000-0000-000005000000}" name="Horímetro final"/>
    <tableColumn id="6" xr3:uid="{00000000-0010-0000-0000-000006000000}" name="Horas trabalhadas">
      <calculatedColumnFormula>E2-D2</calculatedColumnFormula>
    </tableColumn>
    <tableColumn id="10" xr3:uid="{00000000-0010-0000-0000-00000A000000}" name="Grupo"/>
    <tableColumn id="11" xr3:uid="{00000000-0010-0000-0000-00000B000000}" name="Condição (Trabalho/Manutenção/Parado)"/>
    <tableColumn id="12" xr3:uid="{00000000-0010-0000-0000-00000C000000}" name="Observações"/>
    <tableColumn id="13" xr3:uid="{00000000-0010-0000-0000-00000D000000}" name="Custo hora máquina (R$)">
      <calculatedColumnFormula>(VLOOKUP(tbl_lancamentos[[#This Row],[Equipamento]], tbl_equipamentos[[Nome]:[Potência (cv)]], 2, FALSE))*0.12*2.14</calculatedColumnFormula>
    </tableColumn>
    <tableColumn id="15" xr3:uid="{00000000-0010-0000-0000-00000F000000}" name="Custo da operação" dataDxfId="4">
      <calculatedColumnFormula>tbl_lancamentos[[#This Row],[Custo hora máquina (R$)]]*tbl_lancamentos[[#This Row],[Horas trabalhadas]]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equipamentos" displayName="tbl_equipamentos" ref="A1:H9">
  <autoFilter ref="A1:H9" xr:uid="{00000000-0009-0000-0100-000002000000}"/>
  <tableColumns count="8">
    <tableColumn id="1" xr3:uid="{00000000-0010-0000-0100-000001000000}" name="ID Equipamento"/>
    <tableColumn id="2" xr3:uid="{00000000-0010-0000-0100-000002000000}" name="Nome"/>
    <tableColumn id="4" xr3:uid="{00000000-0010-0000-0100-000004000000}" name="Potência (cv)"/>
    <tableColumn id="5" xr3:uid="{00000000-0010-0000-0100-000005000000}" name="Ano"/>
    <tableColumn id="7" xr3:uid="{00000000-0010-0000-0100-000007000000}" name="Custo hora (R$)" dataCellStyle="Currency">
      <calculatedColumnFormula>0.12*tbl_equipamentos[[#This Row],[Potência (cv)]]*2.14</calculatedColumnFormula>
    </tableColumn>
    <tableColumn id="8" xr3:uid="{00000000-0010-0000-0100-000008000000}" name="Situação (Ativo/Manutenção)"/>
    <tableColumn id="6" xr3:uid="{6F721F71-42C8-4C7B-B796-EDC5FA96FFEE}" name="Horas trabalhadas">
      <calculatedColumnFormula>SUMIF(tbl_lancamentos[Equipamento],tbl_equipamentos[[#This Row],[Nome]],tbl_lancamentos[Horas trabalhadas])</calculatedColumnFormula>
    </tableColumn>
    <tableColumn id="9" xr3:uid="{92E37A0D-1A4B-4EC2-B919-95CE6F8ECC47}" name="Horímetro Atual">
      <calculatedColumnFormula>_xlfn.MAXIFS(tbl_lancamentos[Horímetro final],tbl_lancamentos[Equipamento],tbl_equipamentos[[#This Row],[Nome]])</calculatedColumnFormula>
    </tableColumn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_operadores" displayName="tbl_operadores" ref="A1:G8">
  <autoFilter ref="A1:G8" xr:uid="{00000000-0009-0000-0100-000003000000}"/>
  <tableColumns count="7">
    <tableColumn id="1" xr3:uid="{00000000-0010-0000-0200-000001000000}" name="ID Operador"/>
    <tableColumn id="2" xr3:uid="{00000000-0010-0000-0200-000002000000}" name="Nome"/>
    <tableColumn id="3" xr3:uid="{00000000-0010-0000-0200-000003000000}" name="Função"/>
    <tableColumn id="4" xr3:uid="{00000000-0010-0000-0200-000004000000}" name="Custo hora (R$)"/>
    <tableColumn id="5" xr3:uid="{00000000-0010-0000-0200-000005000000}" name="Habilitações / Observações"/>
    <tableColumn id="6" xr3:uid="{00000000-0010-0000-0200-000006000000}" name="Ativo? (Sim/Não)"/>
    <tableColumn id="7" xr3:uid="{01127F77-9793-48C3-B83A-37A5BAC51DA1}" name="Horas trabalhadas">
      <calculatedColumnFormula>SUMIF(tbl_lancamentos[Operador],tbl_operadores[[#This Row],[Nome]],tbl_lancamentos[Horas trabalhadas])</calculatedColumnFormula>
    </tableColumn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3CDBEB2-BCC8-455D-8C23-D62F2DA91E5E}" name="Table5" displayName="Table5" ref="A1:E9" totalsRowShown="0" tableBorderDxfId="3">
  <autoFilter ref="A1:E9" xr:uid="{73CDBEB2-BCC8-455D-8C23-D62F2DA91E5E}"/>
  <tableColumns count="5">
    <tableColumn id="1" xr3:uid="{3BE4D3B7-29B2-432E-B636-F1B2D4A545D3}" name="ID Equipamento" dataDxfId="2"/>
    <tableColumn id="2" xr3:uid="{EAFCBEEA-E265-4391-B8DA-EFE99D9A799E}" name="Nome" dataDxfId="1"/>
    <tableColumn id="3" xr3:uid="{8A64CE56-BB80-43BB-A6A7-C931EB34F6C8}" name="Horímetro"/>
    <tableColumn id="4" xr3:uid="{E88C051F-B42C-4A53-ADBC-E5707716151A}" name="Manutenção Realizada"/>
    <tableColumn id="5" xr3:uid="{B652817A-7E63-442D-9425-B169EA59ED56}" name="Custo da Manutenção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0E8FC01-FC5B-4595-B08A-A7AC447B58C9}" name="Table4" displayName="Table4" ref="A1:C4" totalsRowShown="0">
  <autoFilter ref="A1:C4" xr:uid="{90E8FC01-FC5B-4595-B08A-A7AC447B58C9}"/>
  <tableColumns count="3">
    <tableColumn id="1" xr3:uid="{513D965C-C3C1-4140-9BD0-B306BAEF805F}" name="GRUPO"/>
    <tableColumn id="2" xr3:uid="{1BE94137-EC5E-4435-9107-07C163079EC0}" name="HORAS TRABALHADAS" dataDxfId="0">
      <calculatedColumnFormula>SUMIF(tbl_lancamentos[Grupo],Table4[[#This Row],[GRUPO]],tbl_lancamentos[Horas trabalhadas])</calculatedColumnFormula>
    </tableColumn>
    <tableColumn id="3" xr3:uid="{0B50E01F-6AE6-404E-BBED-799CA3B0C0EA}" name="CUST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workbookViewId="0">
      <selection activeCell="J15" sqref="J15"/>
    </sheetView>
  </sheetViews>
  <sheetFormatPr defaultRowHeight="15" x14ac:dyDescent="0.25"/>
  <cols>
    <col min="1" max="1" width="14.5703125" customWidth="1"/>
    <col min="2" max="2" width="15.140625" bestFit="1" customWidth="1"/>
    <col min="3" max="3" width="11.7109375" bestFit="1" customWidth="1"/>
    <col min="4" max="4" width="18.28515625" bestFit="1" customWidth="1"/>
    <col min="5" max="5" width="17" bestFit="1" customWidth="1"/>
    <col min="6" max="6" width="19.140625" bestFit="1" customWidth="1"/>
    <col min="7" max="7" width="9.7109375" bestFit="1" customWidth="1"/>
    <col min="8" max="8" width="41" bestFit="1" customWidth="1"/>
    <col min="9" max="9" width="14.5703125" bestFit="1" customWidth="1"/>
    <col min="10" max="10" width="25.28515625" bestFit="1" customWidth="1"/>
    <col min="11" max="11" width="28.855468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64</v>
      </c>
      <c r="H1" t="s">
        <v>7</v>
      </c>
      <c r="I1" t="s">
        <v>8</v>
      </c>
      <c r="J1" t="s">
        <v>9</v>
      </c>
      <c r="K1" t="s">
        <v>65</v>
      </c>
    </row>
    <row r="2" spans="1:11" x14ac:dyDescent="0.25">
      <c r="A2" s="4">
        <v>45999</v>
      </c>
      <c r="B2" t="s">
        <v>17</v>
      </c>
      <c r="C2" t="s">
        <v>42</v>
      </c>
      <c r="D2">
        <v>3200</v>
      </c>
      <c r="E2">
        <v>3204</v>
      </c>
      <c r="F2">
        <f>E2-D2</f>
        <v>4</v>
      </c>
      <c r="G2" t="s">
        <v>69</v>
      </c>
      <c r="J2">
        <f>(VLOOKUP(tbl_lancamentos[[#This Row],[Equipamento]], tbl_equipamentos[[Nome]:[Potência (cv)]], 2, FALSE))*0.12*2.14</f>
        <v>23.625599999999999</v>
      </c>
      <c r="K2">
        <f>tbl_lancamentos[[#This Row],[Custo hora máquina (R$)]]*tbl_lancamentos[[#This Row],[Horas trabalhadas]]</f>
        <v>94.502399999999994</v>
      </c>
    </row>
    <row r="3" spans="1:11" x14ac:dyDescent="0.25">
      <c r="A3" s="4">
        <v>45999</v>
      </c>
      <c r="B3" t="s">
        <v>24</v>
      </c>
      <c r="C3" t="s">
        <v>42</v>
      </c>
      <c r="D3">
        <v>200</v>
      </c>
      <c r="E3">
        <v>201</v>
      </c>
      <c r="F3">
        <f>E3-D3</f>
        <v>1</v>
      </c>
      <c r="G3" t="s">
        <v>69</v>
      </c>
      <c r="J3">
        <f>(VLOOKUP(tbl_lancamentos[[#This Row],[Equipamento]], tbl_equipamentos[[Nome]:[Potência (cv)]], 2, FALSE))*0.12*2.14</f>
        <v>19.260000000000002</v>
      </c>
      <c r="K3">
        <f>tbl_lancamentos[[#This Row],[Custo hora máquina (R$)]]*tbl_lancamentos[[#This Row],[Horas trabalhadas]]</f>
        <v>19.260000000000002</v>
      </c>
    </row>
    <row r="4" spans="1:11" x14ac:dyDescent="0.25">
      <c r="A4" s="4">
        <v>45999</v>
      </c>
      <c r="B4" t="s">
        <v>26</v>
      </c>
      <c r="C4" t="s">
        <v>42</v>
      </c>
      <c r="D4">
        <v>100</v>
      </c>
      <c r="E4">
        <v>102</v>
      </c>
      <c r="F4">
        <f>E4-D4</f>
        <v>2</v>
      </c>
      <c r="G4" t="s">
        <v>69</v>
      </c>
      <c r="J4">
        <f>(VLOOKUP(tbl_lancamentos[[#This Row],[Equipamento]], tbl_equipamentos[[Nome]:[Potência (cv)]], 2, FALSE))*0.12*2.14</f>
        <v>15.407999999999999</v>
      </c>
      <c r="K4">
        <f>tbl_lancamentos[[#This Row],[Custo hora máquina (R$)]]*tbl_lancamentos[[#This Row],[Horas trabalhadas]]</f>
        <v>30.815999999999999</v>
      </c>
    </row>
  </sheetData>
  <pageMargins left="0.75" right="0.75" top="1" bottom="1" header="0.5" footer="0.5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6ECF30A-C83D-451B-A5FD-24FFAA40F785}">
          <x14:formula1>
            <xm:f>EQUIPAMENTOS!$B$2:$B$117</xm:f>
          </x14:formula1>
          <xm:sqref>B2:B1048576</xm:sqref>
        </x14:dataValidation>
        <x14:dataValidation type="list" allowBlank="1" showInputMessage="1" showErrorMessage="1" xr:uid="{7F743FB9-373C-44C2-AF4E-ACF07EE0D2E9}">
          <x14:formula1>
            <xm:f>OPERADORES!$B$2:$B$8</xm:f>
          </x14:formula1>
          <xm:sqref>C2:C1048576</xm:sqref>
        </x14:dataValidation>
        <x14:dataValidation type="list" allowBlank="1" showInputMessage="1" showErrorMessage="1" xr:uid="{FEE775A7-6637-4B58-AC5B-2B17620166DC}">
          <x14:formula1>
            <xm:f>TABELAS_AUX!$G$2:$G$4</xm:f>
          </x14:formula1>
          <xm:sqref>G2:G1048576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"/>
  <sheetViews>
    <sheetView workbookViewId="0">
      <selection sqref="A1:B9"/>
    </sheetView>
  </sheetViews>
  <sheetFormatPr defaultRowHeight="15" x14ac:dyDescent="0.25"/>
  <cols>
    <col min="2" max="2" width="18" bestFit="1" customWidth="1"/>
    <col min="3" max="3" width="14.7109375" bestFit="1" customWidth="1"/>
    <col min="4" max="4" width="6.85546875" bestFit="1" customWidth="1"/>
    <col min="5" max="5" width="16.85546875" bestFit="1" customWidth="1"/>
    <col min="6" max="6" width="29.85546875" bestFit="1" customWidth="1"/>
    <col min="7" max="7" width="19.140625" bestFit="1" customWidth="1"/>
    <col min="8" max="8" width="17.7109375" bestFit="1" customWidth="1"/>
  </cols>
  <sheetData>
    <row r="1" spans="1:8" x14ac:dyDescent="0.25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5</v>
      </c>
      <c r="H1" t="s">
        <v>72</v>
      </c>
    </row>
    <row r="2" spans="1:8" x14ac:dyDescent="0.25">
      <c r="A2" t="s">
        <v>16</v>
      </c>
      <c r="B2" t="s">
        <v>17</v>
      </c>
      <c r="C2">
        <v>92</v>
      </c>
      <c r="E2" s="5">
        <f>0.12*tbl_equipamentos[[#This Row],[Potência (cv)]]*2.14</f>
        <v>23.625599999999999</v>
      </c>
      <c r="F2" t="s">
        <v>18</v>
      </c>
      <c r="G2">
        <f>SUMIF(tbl_lancamentos[Equipamento],tbl_equipamentos[[#This Row],[Nome]],tbl_lancamentos[Horas trabalhadas])</f>
        <v>4</v>
      </c>
      <c r="H2">
        <f>_xlfn.MAXIFS(tbl_lancamentos[Horímetro final],tbl_lancamentos[Equipamento],tbl_equipamentos[[#This Row],[Nome]])</f>
        <v>3204</v>
      </c>
    </row>
    <row r="3" spans="1:8" x14ac:dyDescent="0.25">
      <c r="A3" t="s">
        <v>19</v>
      </c>
      <c r="B3" t="s">
        <v>20</v>
      </c>
      <c r="C3">
        <v>85</v>
      </c>
      <c r="E3" s="5">
        <f>0.12*tbl_equipamentos[[#This Row],[Potência (cv)]]*2.14</f>
        <v>21.827999999999999</v>
      </c>
      <c r="F3" t="s">
        <v>18</v>
      </c>
      <c r="G3">
        <f>SUMIF(tbl_lancamentos[Equipamento],tbl_equipamentos[[#This Row],[Nome]],tbl_lancamentos[Horas trabalhadas])</f>
        <v>0</v>
      </c>
      <c r="H3">
        <f>_xlfn.MAXIFS(tbl_lancamentos[Horímetro final],tbl_lancamentos[Equipamento],tbl_equipamentos[[#This Row],[Nome]])</f>
        <v>0</v>
      </c>
    </row>
    <row r="4" spans="1:8" x14ac:dyDescent="0.25">
      <c r="A4" t="s">
        <v>21</v>
      </c>
      <c r="B4" t="s">
        <v>22</v>
      </c>
      <c r="C4">
        <v>75</v>
      </c>
      <c r="E4" s="5">
        <f>0.12*tbl_equipamentos[[#This Row],[Potência (cv)]]*2.14</f>
        <v>19.260000000000002</v>
      </c>
      <c r="F4" t="s">
        <v>18</v>
      </c>
      <c r="G4">
        <f>SUMIF(tbl_lancamentos[Equipamento],tbl_equipamentos[[#This Row],[Nome]],tbl_lancamentos[Horas trabalhadas])</f>
        <v>0</v>
      </c>
      <c r="H4">
        <f>_xlfn.MAXIFS(tbl_lancamentos[Horímetro final],tbl_lancamentos[Equipamento],tbl_equipamentos[[#This Row],[Nome]])</f>
        <v>0</v>
      </c>
    </row>
    <row r="5" spans="1:8" x14ac:dyDescent="0.25">
      <c r="A5" t="s">
        <v>23</v>
      </c>
      <c r="B5" t="s">
        <v>24</v>
      </c>
      <c r="C5">
        <v>75</v>
      </c>
      <c r="E5" s="5">
        <f>0.12*tbl_equipamentos[[#This Row],[Potência (cv)]]*2.14</f>
        <v>19.260000000000002</v>
      </c>
      <c r="F5" t="s">
        <v>18</v>
      </c>
      <c r="G5">
        <f>SUMIF(tbl_lancamentos[Equipamento],tbl_equipamentos[[#This Row],[Nome]],tbl_lancamentos[Horas trabalhadas])</f>
        <v>1</v>
      </c>
      <c r="H5">
        <f>_xlfn.MAXIFS(tbl_lancamentos[Horímetro final],tbl_lancamentos[Equipamento],tbl_equipamentos[[#This Row],[Nome]])</f>
        <v>201</v>
      </c>
    </row>
    <row r="6" spans="1:8" x14ac:dyDescent="0.25">
      <c r="A6" t="s">
        <v>25</v>
      </c>
      <c r="B6" t="s">
        <v>26</v>
      </c>
      <c r="C6">
        <v>60</v>
      </c>
      <c r="E6" s="5">
        <f>0.12*tbl_equipamentos[[#This Row],[Potência (cv)]]*2.14</f>
        <v>15.407999999999999</v>
      </c>
      <c r="F6" t="s">
        <v>18</v>
      </c>
      <c r="G6">
        <f>SUMIF(tbl_lancamentos[Equipamento],tbl_equipamentos[[#This Row],[Nome]],tbl_lancamentos[Horas trabalhadas])</f>
        <v>2</v>
      </c>
      <c r="H6">
        <f>_xlfn.MAXIFS(tbl_lancamentos[Horímetro final],tbl_lancamentos[Equipamento],tbl_equipamentos[[#This Row],[Nome]])</f>
        <v>102</v>
      </c>
    </row>
    <row r="7" spans="1:8" x14ac:dyDescent="0.25">
      <c r="A7" t="s">
        <v>27</v>
      </c>
      <c r="B7" t="s">
        <v>28</v>
      </c>
      <c r="C7">
        <v>114</v>
      </c>
      <c r="E7" s="5">
        <f>0.12*tbl_equipamentos[[#This Row],[Potência (cv)]]*2.14</f>
        <v>29.275200000000002</v>
      </c>
      <c r="F7" t="s">
        <v>18</v>
      </c>
      <c r="G7">
        <f>SUMIF(tbl_lancamentos[Equipamento],tbl_equipamentos[[#This Row],[Nome]],tbl_lancamentos[Horas trabalhadas])</f>
        <v>0</v>
      </c>
      <c r="H7">
        <f>_xlfn.MAXIFS(tbl_lancamentos[Horímetro final],tbl_lancamentos[Equipamento],tbl_equipamentos[[#This Row],[Nome]])</f>
        <v>0</v>
      </c>
    </row>
    <row r="8" spans="1:8" x14ac:dyDescent="0.25">
      <c r="A8" t="s">
        <v>29</v>
      </c>
      <c r="B8" t="s">
        <v>30</v>
      </c>
      <c r="C8">
        <v>65</v>
      </c>
      <c r="E8" s="5">
        <f>0.12*tbl_equipamentos[[#This Row],[Potência (cv)]]*2.14</f>
        <v>16.692</v>
      </c>
      <c r="F8" t="s">
        <v>18</v>
      </c>
      <c r="G8">
        <f>SUMIF(tbl_lancamentos[Equipamento],tbl_equipamentos[[#This Row],[Nome]],tbl_lancamentos[Horas trabalhadas])</f>
        <v>0</v>
      </c>
      <c r="H8">
        <f>_xlfn.MAXIFS(tbl_lancamentos[Horímetro final],tbl_lancamentos[Equipamento],tbl_equipamentos[[#This Row],[Nome]])</f>
        <v>0</v>
      </c>
    </row>
    <row r="9" spans="1:8" x14ac:dyDescent="0.25">
      <c r="A9" t="s">
        <v>31</v>
      </c>
      <c r="B9" t="s">
        <v>32</v>
      </c>
      <c r="C9">
        <v>85</v>
      </c>
      <c r="E9" s="5">
        <f>0.12*tbl_equipamentos[[#This Row],[Potência (cv)]]*2.14</f>
        <v>21.827999999999999</v>
      </c>
      <c r="F9" t="s">
        <v>18</v>
      </c>
      <c r="G9">
        <f>SUMIF(tbl_lancamentos[Equipamento],tbl_equipamentos[[#This Row],[Nome]],tbl_lancamentos[Horas trabalhadas])</f>
        <v>0</v>
      </c>
      <c r="H9">
        <f>_xlfn.MAXIFS(tbl_lancamentos[Horímetro final],tbl_lancamentos[Equipamento],tbl_equipamentos[[#This Row],[Nome]])</f>
        <v>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"/>
  <sheetViews>
    <sheetView workbookViewId="0">
      <selection activeCell="G2" sqref="G2:G8"/>
    </sheetView>
  </sheetViews>
  <sheetFormatPr defaultRowHeight="15" x14ac:dyDescent="0.25"/>
  <cols>
    <col min="7" max="7" width="19.140625" bestFit="1" customWidth="1"/>
  </cols>
  <sheetData>
    <row r="1" spans="1:7" x14ac:dyDescent="0.25">
      <c r="A1" t="s">
        <v>33</v>
      </c>
      <c r="B1" t="s">
        <v>11</v>
      </c>
      <c r="C1" t="s">
        <v>34</v>
      </c>
      <c r="D1" t="s">
        <v>14</v>
      </c>
      <c r="E1" t="s">
        <v>35</v>
      </c>
      <c r="F1" t="s">
        <v>36</v>
      </c>
      <c r="G1" t="s">
        <v>5</v>
      </c>
    </row>
    <row r="2" spans="1:7" x14ac:dyDescent="0.25">
      <c r="A2" t="s">
        <v>37</v>
      </c>
      <c r="B2" t="s">
        <v>38</v>
      </c>
      <c r="C2" t="s">
        <v>39</v>
      </c>
      <c r="F2" t="s">
        <v>40</v>
      </c>
      <c r="G2">
        <f>SUMIF(tbl_lancamentos[Operador],tbl_operadores[[#This Row],[Nome]],tbl_lancamentos[Horas trabalhadas])</f>
        <v>0</v>
      </c>
    </row>
    <row r="3" spans="1:7" x14ac:dyDescent="0.25">
      <c r="A3" t="s">
        <v>41</v>
      </c>
      <c r="B3" t="s">
        <v>42</v>
      </c>
      <c r="C3" t="s">
        <v>39</v>
      </c>
      <c r="F3" t="s">
        <v>40</v>
      </c>
      <c r="G3">
        <f>SUMIF(tbl_lancamentos[Operador],tbl_operadores[[#This Row],[Nome]],tbl_lancamentos[Horas trabalhadas])</f>
        <v>7</v>
      </c>
    </row>
    <row r="4" spans="1:7" x14ac:dyDescent="0.25">
      <c r="A4" t="s">
        <v>43</v>
      </c>
      <c r="B4" t="s">
        <v>44</v>
      </c>
      <c r="C4" t="s">
        <v>39</v>
      </c>
      <c r="F4" t="s">
        <v>40</v>
      </c>
      <c r="G4">
        <f>SUMIF(tbl_lancamentos[Operador],tbl_operadores[[#This Row],[Nome]],tbl_lancamentos[Horas trabalhadas])</f>
        <v>0</v>
      </c>
    </row>
    <row r="5" spans="1:7" x14ac:dyDescent="0.25">
      <c r="A5" t="s">
        <v>45</v>
      </c>
      <c r="B5" t="s">
        <v>46</v>
      </c>
      <c r="C5" t="s">
        <v>39</v>
      </c>
      <c r="F5" t="s">
        <v>40</v>
      </c>
      <c r="G5">
        <f>SUMIF(tbl_lancamentos[Operador],tbl_operadores[[#This Row],[Nome]],tbl_lancamentos[Horas trabalhadas])</f>
        <v>0</v>
      </c>
    </row>
    <row r="6" spans="1:7" x14ac:dyDescent="0.25">
      <c r="A6" t="s">
        <v>47</v>
      </c>
      <c r="B6" t="s">
        <v>48</v>
      </c>
      <c r="C6" t="s">
        <v>39</v>
      </c>
      <c r="F6" t="s">
        <v>40</v>
      </c>
      <c r="G6">
        <f>SUMIF(tbl_lancamentos[Operador],tbl_operadores[[#This Row],[Nome]],tbl_lancamentos[Horas trabalhadas])</f>
        <v>0</v>
      </c>
    </row>
    <row r="7" spans="1:7" x14ac:dyDescent="0.25">
      <c r="A7" t="s">
        <v>49</v>
      </c>
      <c r="B7" t="s">
        <v>50</v>
      </c>
      <c r="C7" t="s">
        <v>39</v>
      </c>
      <c r="F7" t="s">
        <v>40</v>
      </c>
      <c r="G7">
        <f>SUMIF(tbl_lancamentos[Operador],tbl_operadores[[#This Row],[Nome]],tbl_lancamentos[Horas trabalhadas])</f>
        <v>0</v>
      </c>
    </row>
    <row r="8" spans="1:7" x14ac:dyDescent="0.25">
      <c r="A8" t="s">
        <v>51</v>
      </c>
      <c r="B8" t="s">
        <v>52</v>
      </c>
      <c r="C8" t="s">
        <v>39</v>
      </c>
      <c r="F8" t="s">
        <v>40</v>
      </c>
      <c r="G8">
        <f>SUMIF(tbl_lancamentos[Operador],tbl_operadores[[#This Row],[Nome]],tbl_lancamentos[Horas trabalhadas])</f>
        <v>0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8"/>
  <sheetViews>
    <sheetView workbookViewId="0">
      <selection activeCell="G5" sqref="G5"/>
    </sheetView>
  </sheetViews>
  <sheetFormatPr defaultRowHeight="15" x14ac:dyDescent="0.25"/>
  <sheetData>
    <row r="1" spans="1:7" x14ac:dyDescent="0.25">
      <c r="A1" t="s">
        <v>6</v>
      </c>
      <c r="C1" t="s">
        <v>53</v>
      </c>
      <c r="G1" t="s">
        <v>68</v>
      </c>
    </row>
    <row r="2" spans="1:7" x14ac:dyDescent="0.25">
      <c r="A2" t="s">
        <v>54</v>
      </c>
      <c r="C2" t="s">
        <v>55</v>
      </c>
      <c r="G2" t="s">
        <v>69</v>
      </c>
    </row>
    <row r="3" spans="1:7" x14ac:dyDescent="0.25">
      <c r="A3" t="s">
        <v>56</v>
      </c>
      <c r="C3" t="s">
        <v>57</v>
      </c>
      <c r="G3" t="s">
        <v>70</v>
      </c>
    </row>
    <row r="4" spans="1:7" x14ac:dyDescent="0.25">
      <c r="A4" t="s">
        <v>58</v>
      </c>
      <c r="C4" t="s">
        <v>59</v>
      </c>
      <c r="G4" t="s">
        <v>71</v>
      </c>
    </row>
    <row r="5" spans="1:7" x14ac:dyDescent="0.25">
      <c r="A5" t="s">
        <v>60</v>
      </c>
    </row>
    <row r="6" spans="1:7" x14ac:dyDescent="0.25">
      <c r="A6" t="s">
        <v>61</v>
      </c>
    </row>
    <row r="7" spans="1:7" x14ac:dyDescent="0.25">
      <c r="A7" t="s">
        <v>62</v>
      </c>
    </row>
    <row r="8" spans="1:7" x14ac:dyDescent="0.25">
      <c r="A8" t="s">
        <v>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A6FE5-3540-4C32-8BFB-AF58E1677975}">
  <dimension ref="A1:E9"/>
  <sheetViews>
    <sheetView tabSelected="1" workbookViewId="0">
      <selection activeCell="D14" sqref="D14"/>
    </sheetView>
  </sheetViews>
  <sheetFormatPr defaultRowHeight="15" x14ac:dyDescent="0.25"/>
  <cols>
    <col min="1" max="1" width="17.28515625" customWidth="1"/>
    <col min="2" max="2" width="18" bestFit="1" customWidth="1"/>
    <col min="3" max="3" width="12.28515625" customWidth="1"/>
    <col min="4" max="4" width="23.140625" customWidth="1"/>
    <col min="5" max="5" width="22.28515625" customWidth="1"/>
  </cols>
  <sheetData>
    <row r="1" spans="1:5" x14ac:dyDescent="0.25">
      <c r="A1" s="1" t="s">
        <v>10</v>
      </c>
      <c r="B1" s="1" t="s">
        <v>11</v>
      </c>
      <c r="C1" t="s">
        <v>73</v>
      </c>
      <c r="D1" t="s">
        <v>74</v>
      </c>
      <c r="E1" t="s">
        <v>75</v>
      </c>
    </row>
    <row r="2" spans="1:5" x14ac:dyDescent="0.25">
      <c r="A2" s="2" t="s">
        <v>16</v>
      </c>
      <c r="B2" s="2" t="s">
        <v>17</v>
      </c>
      <c r="C2">
        <v>3200</v>
      </c>
      <c r="D2" t="s">
        <v>76</v>
      </c>
      <c r="E2">
        <v>300</v>
      </c>
    </row>
    <row r="3" spans="1:5" x14ac:dyDescent="0.25">
      <c r="A3" s="3"/>
      <c r="B3" s="3"/>
    </row>
    <row r="4" spans="1:5" x14ac:dyDescent="0.25">
      <c r="A4" s="2"/>
      <c r="B4" s="2"/>
    </row>
    <row r="5" spans="1:5" x14ac:dyDescent="0.25">
      <c r="A5" s="3"/>
      <c r="B5" s="3"/>
    </row>
    <row r="6" spans="1:5" x14ac:dyDescent="0.25">
      <c r="A6" s="2"/>
      <c r="B6" s="2"/>
    </row>
    <row r="7" spans="1:5" x14ac:dyDescent="0.25">
      <c r="A7" s="3"/>
      <c r="B7" s="3"/>
    </row>
    <row r="8" spans="1:5" x14ac:dyDescent="0.25">
      <c r="A8" s="2"/>
      <c r="B8" s="2"/>
    </row>
    <row r="9" spans="1:5" x14ac:dyDescent="0.25">
      <c r="A9" s="3"/>
      <c r="B9" s="3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24073-E72B-4FB4-8765-4E21A5169CD0}">
  <dimension ref="A1:C4"/>
  <sheetViews>
    <sheetView workbookViewId="0">
      <selection activeCell="C2" sqref="C2"/>
    </sheetView>
  </sheetViews>
  <sheetFormatPr defaultRowHeight="15" x14ac:dyDescent="0.25"/>
  <cols>
    <col min="1" max="1" width="9.7109375" customWidth="1"/>
    <col min="2" max="2" width="22.5703125" customWidth="1"/>
    <col min="3" max="3" width="22.140625" customWidth="1"/>
    <col min="4" max="4" width="20.7109375" bestFit="1" customWidth="1"/>
  </cols>
  <sheetData>
    <row r="1" spans="1:3" x14ac:dyDescent="0.25">
      <c r="A1" t="s">
        <v>68</v>
      </c>
      <c r="B1" t="s">
        <v>66</v>
      </c>
      <c r="C1" t="s">
        <v>67</v>
      </c>
    </row>
    <row r="2" spans="1:3" x14ac:dyDescent="0.25">
      <c r="A2" t="s">
        <v>69</v>
      </c>
      <c r="B2">
        <f>SUMIF(tbl_lancamentos[Grupo],Table4[[#This Row],[GRUPO]],tbl_lancamentos[Horas trabalhadas])</f>
        <v>7</v>
      </c>
      <c r="C2" s="5">
        <f>SUMIF(tbl_lancamentos[Grupo],Table4[[#This Row],[GRUPO]],tbl_lancamentos[Custo da operação])</f>
        <v>144.57839999999999</v>
      </c>
    </row>
    <row r="3" spans="1:3" x14ac:dyDescent="0.25">
      <c r="A3" t="s">
        <v>70</v>
      </c>
      <c r="B3">
        <f>SUMIF(tbl_lancamentos[Grupo],Table4[[#This Row],[GRUPO]],tbl_lancamentos[Horas trabalhadas])</f>
        <v>0</v>
      </c>
    </row>
    <row r="4" spans="1:3" x14ac:dyDescent="0.25">
      <c r="A4" t="s">
        <v>71</v>
      </c>
      <c r="B4">
        <f>SUMIF(tbl_lancamentos[Grupo],Table4[[#This Row],[GRUPO]],tbl_lancamentos[Horas trabalhadas])</f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LANCAMENTOS</vt:lpstr>
      <vt:lpstr>EQUIPAMENTOS</vt:lpstr>
      <vt:lpstr>OPERADORES</vt:lpstr>
      <vt:lpstr>TABELAS_AUX</vt:lpstr>
      <vt:lpstr>MANUTENÇÃO</vt:lpstr>
      <vt:lpstr>CUSTO POR GRUPO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André Garcia</cp:lastModifiedBy>
  <dcterms:created xsi:type="dcterms:W3CDTF">2025-12-09T01:27:14Z</dcterms:created>
  <dcterms:modified xsi:type="dcterms:W3CDTF">2025-12-09T02:42:12Z</dcterms:modified>
</cp:coreProperties>
</file>